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总览" sheetId="1" state="visible" r:id="rId3"/>
    <sheet name="任务清单" sheetId="2" state="visible" r:id="rId4"/>
    <sheet name="签字确认" sheetId="3" state="visible" r:id="rId5"/>
  </sheets>
  <definedNames>
    <definedName function="false" hidden="true" localSheetId="1" name="_xlnm._FilterDatabase" vbProcedure="false">任务清单!$A$1:$L$33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<sst xmlns="http://schemas.openxmlformats.org/spreadsheetml/2006/main" count="415" uniqueCount="214">
  <si>
    <t xml:space="preserve">智能手表数据接入执行计划 — 总览</t>
  </si>
  <si>
    <t xml:space="preserve">项目:沐禾健康(青沐生命科技) | 编制:2026-07-22 | 依据:聚合平台调研报告核实修正版(实际验证于 2026-07-22)</t>
  </si>
  <si>
    <t xml:space="preserve">阶段</t>
  </si>
  <si>
    <t xml:space="preserve">目标</t>
  </si>
  <si>
    <t xml:space="preserve">任务数</t>
  </si>
  <si>
    <t xml:space="preserve">已完成</t>
  </si>
  <si>
    <t xml:space="preserve">完成率</t>
  </si>
  <si>
    <t xml:space="preserve">需签字项数</t>
  </si>
  <si>
    <t xml:space="preserve">阶段0 决策确认</t>
  </si>
  <si>
    <t xml:space="preserve">技术路线/平台选型/预算/合规/华为立项 5 项决策签字</t>
  </si>
  <si>
    <t xml:space="preserve">阶段1 零成本验证</t>
  </si>
  <si>
    <r>
      <rPr>
        <sz val="10"/>
        <rFont val="Arial"/>
        <family val="0"/>
        <charset val="1"/>
      </rPr>
      <t xml:space="preserve">Validic </t>
    </r>
    <r>
      <rPr>
        <sz val="10"/>
        <rFont val="Noto Sans CJK SC"/>
        <family val="2"/>
      </rPr>
      <t xml:space="preserve">免费层</t>
    </r>
    <r>
      <rPr>
        <sz val="10"/>
        <rFont val="Arial"/>
        <family val="0"/>
        <charset val="1"/>
      </rPr>
      <t xml:space="preserve">+Terra </t>
    </r>
    <r>
      <rPr>
        <sz val="10"/>
        <rFont val="Noto Sans CJK SC"/>
        <family val="2"/>
      </rPr>
      <t xml:space="preserve">试用实测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签字定选型</t>
    </r>
  </si>
  <si>
    <t xml:space="preserve">阶段2 华为官方接入</t>
  </si>
  <si>
    <t xml:space="preserve">按华为审核流程图走完 测试权限→商用验证 全流程</t>
  </si>
  <si>
    <t xml:space="preserve">阶段3 聚合平台接入</t>
  </si>
  <si>
    <t xml:space="preserve">签约→Garmin 开发者计划→后端 webhook→前端授权→灰度</t>
  </si>
  <si>
    <t xml:space="preserve">阶段4 国产品牌补充</t>
  </si>
  <si>
    <t xml:space="preserve">小米/vivo/OPPO/宜准商务对接+兜底方案</t>
  </si>
  <si>
    <t xml:space="preserve">阶段5 上线验收</t>
  </si>
  <si>
    <t xml:space="preserve">全链路验证/合规复核/部署/总验收</t>
  </si>
  <si>
    <t xml:space="preserve">合计</t>
  </si>
  <si>
    <t xml:space="preserve">使用说明(可编辑单元格)</t>
  </si>
  <si>
    <r>
      <rPr>
        <sz val="9"/>
        <rFont val="Arial"/>
        <family val="0"/>
        <charset val="1"/>
      </rPr>
      <t xml:space="preserve">1. </t>
    </r>
    <r>
      <rPr>
        <sz val="9"/>
        <rFont val="Noto Sans CJK SC"/>
        <family val="2"/>
      </rPr>
      <t xml:space="preserve">在「任务清单」表只需维护</t>
    </r>
    <r>
      <rPr>
        <sz val="9"/>
        <rFont val="Arial"/>
        <family val="0"/>
        <charset val="1"/>
      </rPr>
      <t xml:space="preserve">:</t>
    </r>
    <r>
      <rPr>
        <sz val="9"/>
        <rFont val="Noto Sans CJK SC"/>
        <family val="2"/>
      </rPr>
      <t xml:space="preserve">状态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未开始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进行中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已完成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受阻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、签字人、签字日期、备注 四列</t>
    </r>
    <r>
      <rPr>
        <sz val="9"/>
        <rFont val="Arial"/>
        <family val="0"/>
        <charset val="1"/>
      </rPr>
      <t xml:space="preserve">;</t>
    </r>
    <r>
      <rPr>
        <sz val="9"/>
        <rFont val="Noto Sans CJK SC"/>
        <family val="2"/>
      </rPr>
      <t xml:space="preserve">其余列为计划基线。</t>
    </r>
  </si>
  <si>
    <r>
      <rPr>
        <sz val="9"/>
        <rFont val="Arial"/>
        <family val="0"/>
        <charset val="1"/>
      </rPr>
      <t xml:space="preserve">2. </t>
    </r>
    <r>
      <rPr>
        <sz val="9"/>
        <rFont val="Noto Sans CJK SC"/>
        <family val="2"/>
      </rPr>
      <t xml:space="preserve">黄色底纹「需签字确认</t>
    </r>
    <r>
      <rPr>
        <sz val="9"/>
        <rFont val="Arial"/>
        <family val="0"/>
        <charset val="1"/>
      </rPr>
      <t xml:space="preserve">=</t>
    </r>
    <r>
      <rPr>
        <sz val="9"/>
        <rFont val="Noto Sans CJK SC"/>
        <family val="2"/>
      </rPr>
      <t xml:space="preserve">是」的任务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完成时必须在「签字确认」表对应行签字。</t>
    </r>
  </si>
  <si>
    <r>
      <rPr>
        <sz val="9"/>
        <rFont val="Arial"/>
        <family val="0"/>
        <charset val="1"/>
      </rPr>
      <t xml:space="preserve">3. </t>
    </r>
    <r>
      <rPr>
        <sz val="9"/>
        <rFont val="Noto Sans CJK SC"/>
        <family val="2"/>
      </rPr>
      <t xml:space="preserve">本表完成率由公式自动计算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勿手改。</t>
    </r>
  </si>
  <si>
    <r>
      <rPr>
        <sz val="9"/>
        <rFont val="Arial"/>
        <family val="0"/>
        <charset val="1"/>
      </rPr>
      <t xml:space="preserve">4. </t>
    </r>
    <r>
      <rPr>
        <sz val="9"/>
        <rFont val="Noto Sans CJK SC"/>
        <family val="2"/>
      </rPr>
      <t xml:space="preserve">工期为估算</t>
    </r>
    <r>
      <rPr>
        <sz val="9"/>
        <rFont val="Arial"/>
        <family val="0"/>
        <charset val="1"/>
      </rPr>
      <t xml:space="preserve">;</t>
    </r>
    <r>
      <rPr>
        <sz val="9"/>
        <rFont val="Noto Sans CJK SC"/>
        <family val="2"/>
      </rPr>
      <t xml:space="preserve">华为审核时长以官方口径为准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被驳回需重新计时。</t>
    </r>
  </si>
  <si>
    <t xml:space="preserve">编号</t>
  </si>
  <si>
    <t xml:space="preserve">任务</t>
  </si>
  <si>
    <t xml:space="preserve">详细步骤/说明</t>
  </si>
  <si>
    <t xml:space="preserve">责任方</t>
  </si>
  <si>
    <t xml:space="preserve">前置依赖</t>
  </si>
  <si>
    <t xml:space="preserve">预计工期</t>
  </si>
  <si>
    <t xml:space="preserve">状态</t>
  </si>
  <si>
    <t xml:space="preserve">需签字确认</t>
  </si>
  <si>
    <t xml:space="preserve">签字人</t>
  </si>
  <si>
    <t xml:space="preserve">签字日期</t>
  </si>
  <si>
    <t xml:space="preserve">备注</t>
  </si>
  <si>
    <t xml:space="preserve">0.1</t>
  </si>
  <si>
    <t xml:space="preserve">确认技术路线</t>
  </si>
  <si>
    <t xml:space="preserve">确认以微信小程序为主。注意:Junction/Validic 的 Apple HealthKit 与 Android Health Connect 均为原生 App SDK,小程序无法嵌入;且 Health Connect 依赖 Google 框架,国行手机(华为/小米/vivo/OPPO)基本不可用。如未来做原生 App 再启用该路线。</t>
  </si>
  <si>
    <t xml:space="preserve">老板+技术</t>
  </si>
  <si>
    <t xml:space="preserve">—</t>
  </si>
  <si>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天</t>
    </r>
  </si>
  <si>
    <t xml:space="preserve">未开始</t>
  </si>
  <si>
    <t xml:space="preserve">是</t>
  </si>
  <si>
    <t xml:space="preserve">核实结论 2026-07-22</t>
  </si>
  <si>
    <t xml:space="preserve">0.2</t>
  </si>
  <si>
    <t xml:space="preserve">聚合平台选型</t>
  </si>
  <si>
    <t xml:space="preserve">推荐 Terra(tryterra.co):实测集成列表含高驰 COROS、松拓 Suunto、华为、Zepp/Amazfit、佳明、Strava,500+ 数据源,$399/月起(年付),SOC2+HIPAA+GDPR。备选 Junction($0.50/用户/月,最低 $300/月,但不支持高驰,小米/松拓仅计划中)。</t>
  </si>
  <si>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天</t>
    </r>
  </si>
  <si>
    <t xml:space="preserve">原报告推荐 Junction,核实后改推 Terra</t>
  </si>
  <si>
    <t xml:space="preserve">0.3</t>
  </si>
  <si>
    <t xml:space="preserve">预算审批</t>
  </si>
  <si>
    <r>
      <rPr>
        <sz val="10"/>
        <rFont val="Arial"/>
        <family val="0"/>
        <charset val="1"/>
      </rPr>
      <t xml:space="preserve">Terra </t>
    </r>
    <r>
      <rPr>
        <sz val="10"/>
        <rFont val="Noto Sans CJK SC"/>
        <family val="2"/>
      </rPr>
      <t xml:space="preserve">约 </t>
    </r>
    <r>
      <rPr>
        <sz val="10"/>
        <rFont val="Arial"/>
        <family val="0"/>
        <charset val="1"/>
      </rPr>
      <t xml:space="preserve">¥2,900/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年付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Junction </t>
    </r>
    <r>
      <rPr>
        <sz val="10"/>
        <rFont val="Noto Sans CJK SC"/>
        <family val="2"/>
      </rPr>
      <t xml:space="preserve">约 </t>
    </r>
    <r>
      <rPr>
        <sz val="10"/>
        <rFont val="Arial"/>
        <family val="0"/>
        <charset val="1"/>
      </rPr>
      <t xml:space="preserve">¥2,200/</t>
    </r>
    <r>
      <rPr>
        <sz val="10"/>
        <rFont val="Noto Sans CJK SC"/>
        <family val="2"/>
      </rPr>
      <t xml:space="preserve">月起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亦可先走阶段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零成本验证再签约。</t>
    </r>
  </si>
  <si>
    <t xml:space="preserve">老板/财务</t>
  </si>
  <si>
    <t xml:space="preserve">0.4</t>
  </si>
  <si>
    <t xml:space="preserve">数据合规立项</t>
  </si>
  <si>
    <t xml:space="preserve">聚合平台服务器均在海外,运动健康数据属 PIPL 敏感个人信息,出境需安全评估/标准合同+单独同意。商用前必须完成,建议与阶段1并行启动。</t>
  </si>
  <si>
    <t xml:space="preserve">法务/老板</t>
  </si>
  <si>
    <r>
      <rPr>
        <sz val="10"/>
        <rFont val="Arial"/>
        <family val="0"/>
        <charset val="1"/>
      </rPr>
      <t xml:space="preserve">2-4 </t>
    </r>
    <r>
      <rPr>
        <sz val="10"/>
        <rFont val="Noto Sans CJK SC"/>
        <family val="2"/>
      </rPr>
      <t xml:space="preserve">周</t>
    </r>
  </si>
  <si>
    <t xml:space="preserve">原报告未提,属硬性前置</t>
  </si>
  <si>
    <t xml:space="preserve">0.5</t>
  </si>
  <si>
    <t xml:space="preserve">华为官方接入立项</t>
  </si>
  <si>
    <t xml:space="preserve">华为运动健康服务现面向鸿蒙应用(需创建 HarmonyOS 应用/元服务取得 APP ID),纯小程序不能直接用。确认是否立项做鸿蒙端采集+云端同步。</t>
  </si>
  <si>
    <t xml:space="preserve">1.1</t>
  </si>
  <si>
    <t xml:space="preserve">注册 Validic 免费开发者层</t>
  </si>
  <si>
    <r>
      <rPr>
        <sz val="10"/>
        <rFont val="Arial"/>
        <family val="0"/>
        <charset val="1"/>
      </rPr>
      <t xml:space="preserve">2026-04 </t>
    </r>
    <r>
      <rPr>
        <sz val="10"/>
        <rFont val="Noto Sans CJK SC"/>
        <family val="2"/>
      </rPr>
      <t xml:space="preserve">起 </t>
    </r>
    <r>
      <rPr>
        <sz val="10"/>
        <rFont val="Arial"/>
        <family val="0"/>
        <charset val="1"/>
      </rPr>
      <t xml:space="preserve">Validic </t>
    </r>
    <r>
      <rPr>
        <sz val="10"/>
        <rFont val="Noto Sans CJK SC"/>
        <family val="2"/>
      </rPr>
      <t xml:space="preserve">开放免费自助注册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无合同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无信用卡</t>
    </r>
    <r>
      <rPr>
        <sz val="10"/>
        <rFont val="Arial"/>
        <family val="0"/>
        <charset val="1"/>
      </rPr>
      <t xml:space="preserve">),700+ </t>
    </r>
    <r>
      <rPr>
        <sz val="10"/>
        <rFont val="Noto Sans CJK SC"/>
        <family val="2"/>
      </rPr>
      <t xml:space="preserve">设备。沙盒验证数据字段与质量。注意</t>
    </r>
    <r>
      <rPr>
        <sz val="10"/>
        <rFont val="Arial"/>
        <family val="0"/>
        <charset val="1"/>
      </rPr>
      <t xml:space="preserve">:2026-06 </t>
    </r>
    <r>
      <rPr>
        <sz val="10"/>
        <rFont val="Noto Sans CJK SC"/>
        <family val="2"/>
      </rPr>
      <t xml:space="preserve">已被 </t>
    </r>
    <r>
      <rPr>
        <sz val="10"/>
        <rFont val="Arial"/>
        <family val="0"/>
        <charset val="1"/>
      </rPr>
      <t xml:space="preserve">ChartSpan </t>
    </r>
    <r>
      <rPr>
        <sz val="10"/>
        <rFont val="Noto Sans CJK SC"/>
        <family val="2"/>
      </rPr>
      <t xml:space="preserve">收购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长期政策留意。</t>
    </r>
  </si>
  <si>
    <t xml:space="preserve">后端</t>
  </si>
  <si>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天</t>
    </r>
  </si>
  <si>
    <t xml:space="preserve">否</t>
  </si>
  <si>
    <t xml:space="preserve">validic.com/inform-signup</t>
  </si>
  <si>
    <t xml:space="preserve">1.2</t>
  </si>
  <si>
    <t xml:space="preserve">注册 Terra 试用</t>
  </si>
  <si>
    <r>
      <rPr>
        <sz val="10"/>
        <rFont val="Arial"/>
        <family val="0"/>
        <charset val="1"/>
      </rPr>
      <t xml:space="preserve">dashboard.tryterra.co </t>
    </r>
    <r>
      <rPr>
        <sz val="10"/>
        <rFont val="Noto Sans CJK SC"/>
        <family val="2"/>
      </rPr>
      <t xml:space="preserve">注册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实测高驰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松拓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华为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佳明连通性、数据字段、</t>
    </r>
    <r>
      <rPr>
        <sz val="10"/>
        <rFont val="Arial"/>
        <family val="0"/>
        <charset val="1"/>
      </rPr>
      <t xml:space="preserve">webhook </t>
    </r>
    <r>
      <rPr>
        <sz val="10"/>
        <rFont val="Noto Sans CJK SC"/>
        <family val="2"/>
      </rPr>
      <t xml:space="preserve">推送。</t>
    </r>
  </si>
  <si>
    <t xml:space="preserve">1.3</t>
  </si>
  <si>
    <t xml:space="preserve">微信运动数据复核</t>
  </si>
  <si>
    <t xml:space="preserve">小程序 wx.getWeRunData 为标准能力,无需申请周期,项目已接入(utils/werun.ts),回归验证即可。</t>
  </si>
  <si>
    <t xml:space="preserve">前端</t>
  </si>
  <si>
    <r>
      <rPr>
        <sz val="10"/>
        <rFont val="Arial"/>
        <family val="0"/>
        <charset val="1"/>
      </rPr>
      <t xml:space="preserve">0.5 </t>
    </r>
    <r>
      <rPr>
        <sz val="10"/>
        <rFont val="Noto Sans CJK SC"/>
        <family val="2"/>
      </rPr>
      <t xml:space="preserve">天</t>
    </r>
  </si>
  <si>
    <t xml:space="preserve">示例行:已有能力</t>
  </si>
  <si>
    <t xml:space="preserve">1.4</t>
  </si>
  <si>
    <t xml:space="preserve">文件导入兜底回归</t>
  </si>
  <si>
    <t xml:space="preserve">回归现有佳明 FIT / 华为 TCX(V0.2.47,1633 活动)/ COROS FIT 导入链路,作为无 API 品牌兜底。</t>
  </si>
  <si>
    <t xml:space="preserve">1.5</t>
  </si>
  <si>
    <t xml:space="preserve">输出验证报告并确认选型</t>
  </si>
  <si>
    <t xml:space="preserve">汇总 1.1-1.4 实测结果,老板签字确认最终平台与签约档位。</t>
  </si>
  <si>
    <t xml:space="preserve">技术负责人</t>
  </si>
  <si>
    <t xml:space="preserve">1.1-1.4</t>
  </si>
  <si>
    <t xml:space="preserve">阶段1里程碑</t>
  </si>
  <si>
    <t xml:space="preserve">2.1</t>
  </si>
  <si>
    <t xml:space="preserve">注册联盟开发者账号</t>
  </si>
  <si>
    <r>
      <rPr>
        <sz val="10"/>
        <rFont val="Arial"/>
        <family val="0"/>
        <charset val="1"/>
      </rPr>
      <t xml:space="preserve">developer.huawei.com </t>
    </r>
    <r>
      <rPr>
        <sz val="10"/>
        <rFont val="Noto Sans CJK SC"/>
        <family val="2"/>
      </rPr>
      <t xml:space="preserve">注册华为开发者联盟账号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企业类型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</si>
  <si>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2.2</t>
  </si>
  <si>
    <t xml:space="preserve">企业实名认证</t>
  </si>
  <si>
    <t xml:space="preserve">推荐企业对公账号打款认证:提交→华为向对公账户打款→财务查询金额→回填验证。评审约 3 个工作日(人工审核认证约 2 个工作日)。</t>
  </si>
  <si>
    <t xml:space="preserve">后端+财务</t>
  </si>
  <si>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工作日</t>
    </r>
  </si>
  <si>
    <t xml:space="preserve">需财务配合查打款金额</t>
  </si>
  <si>
    <t xml:space="preserve">2.3</t>
  </si>
  <si>
    <t xml:space="preserve">创建 HarmonyOS 应用/元服务</t>
  </si>
  <si>
    <r>
      <rPr>
        <sz val="10"/>
        <rFont val="Arial"/>
        <family val="0"/>
        <charset val="1"/>
      </rPr>
      <t xml:space="preserve">AppGallery Connect </t>
    </r>
    <r>
      <rPr>
        <sz val="10"/>
        <rFont val="Noto Sans CJK SC"/>
        <family val="2"/>
      </rPr>
      <t xml:space="preserve">创建鸿蒙应用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元服务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取得 </t>
    </r>
    <r>
      <rPr>
        <sz val="10"/>
        <rFont val="Arial"/>
        <family val="0"/>
        <charset val="1"/>
      </rPr>
      <t xml:space="preserve">APP ID</t>
    </r>
    <r>
      <rPr>
        <sz val="10"/>
        <rFont val="Noto Sans CJK SC"/>
        <family val="2"/>
      </rPr>
      <t xml:space="preserve">。</t>
    </r>
  </si>
  <si>
    <t xml:space="preserve">2.4</t>
  </si>
  <si>
    <t xml:space="preserve">准备测试权限申请材料</t>
  </si>
  <si>
    <t xml:space="preserve">三件套:①运动健康服务申请资料清单 ②企业介绍材料 ③隐私政策链接(需含华为数据使用声明)。内部评审后提交。</t>
  </si>
  <si>
    <t xml:space="preserve">后端+法务</t>
  </si>
  <si>
    <t xml:space="preserve">材料定稿需签字</t>
  </si>
  <si>
    <t xml:space="preserve">2.5</t>
  </si>
  <si>
    <t xml:space="preserve">提交测试权限申请</t>
  </si>
  <si>
    <t xml:space="preserve">申请数据测试权限,人工审核:重点/战略伙伴≤5 个工作日,优质伙伴≤10 个工作日(官方通用口径约 15 个工作日)。测试期用户上限 100 人。</t>
  </si>
  <si>
    <r>
      <rPr>
        <sz val="10"/>
        <rFont val="Arial"/>
        <family val="0"/>
        <charset val="1"/>
      </rPr>
      <t xml:space="preserve">5-15 </t>
    </r>
    <r>
      <rPr>
        <sz val="10"/>
        <rFont val="Noto Sans CJK SC"/>
        <family val="2"/>
      </rPr>
      <t xml:space="preserve">工作日</t>
    </r>
  </si>
  <si>
    <t xml:space="preserve">被驳回需修改重审</t>
  </si>
  <si>
    <t xml:space="preserve">2.6</t>
  </si>
  <si>
    <t xml:space="preserve">开发联调</t>
  </si>
  <si>
    <t xml:space="preserve">鸿蒙端采集运动健康数据→同步到 qingmulife.cn 后端→小程序展示。dataSource 新增 huawei_kit。</t>
  </si>
  <si>
    <t xml:space="preserve">前后端</t>
  </si>
  <si>
    <r>
      <rPr>
        <sz val="10"/>
        <rFont val="Arial"/>
        <family val="0"/>
        <charset val="1"/>
      </rPr>
      <t xml:space="preserve">2-3 </t>
    </r>
    <r>
      <rPr>
        <sz val="10"/>
        <rFont val="Noto Sans CJK SC"/>
        <family val="2"/>
      </rPr>
      <t xml:space="preserve">周</t>
    </r>
  </si>
  <si>
    <t xml:space="preserve">2.7</t>
  </si>
  <si>
    <t xml:space="preserve">准备商用验证材料</t>
  </si>
  <si>
    <t xml:space="preserve">两件套:①举证材料.zip(功能演示视频+自检截图) ②应用上线 Checklist。内部评审后提交。</t>
  </si>
  <si>
    <t xml:space="preserve">2.8</t>
  </si>
  <si>
    <t xml:space="preserve">提交验证权限申请并商用</t>
  </si>
  <si>
    <t xml:space="preserve">人工审核:重点/战略伙伴≤7 个工作日,优质伙伴≤15 个工作日。通过后解除 100 用户限制,正式商用。</t>
  </si>
  <si>
    <r>
      <rPr>
        <sz val="10"/>
        <rFont val="Arial"/>
        <family val="0"/>
        <charset val="1"/>
      </rPr>
      <t xml:space="preserve">7-15 </t>
    </r>
    <r>
      <rPr>
        <sz val="10"/>
        <rFont val="Noto Sans CJK SC"/>
        <family val="2"/>
      </rPr>
      <t xml:space="preserve">工作日</t>
    </r>
  </si>
  <si>
    <t xml:space="preserve">2.9</t>
  </si>
  <si>
    <t xml:space="preserve">阶段验收</t>
  </si>
  <si>
    <t xml:space="preserve">华为数据全链路真机验证通过,老板签字验收。</t>
  </si>
  <si>
    <t xml:space="preserve">老板</t>
  </si>
  <si>
    <t xml:space="preserve">阶段2里程碑</t>
  </si>
  <si>
    <t xml:space="preserve">3.1</t>
  </si>
  <si>
    <t xml:space="preserve">商务签约</t>
  </si>
  <si>
    <t xml:space="preserve">与选定平台(Terra/Junction)签约:合同、发票(海外服务商注意代扣税)、支付方式。</t>
  </si>
  <si>
    <t xml:space="preserve">1.5,0.4</t>
  </si>
  <si>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周</t>
    </r>
  </si>
  <si>
    <t xml:space="preserve">3.2</t>
  </si>
  <si>
    <t xml:space="preserve">申请 Garmin 开发者计划</t>
  </si>
  <si>
    <t xml:space="preserve">佳明需单独申请 Garmin Connect Developer Program(免费,商业资质审核),通过后在聚合平台配置 BYOO 凭证。</t>
  </si>
  <si>
    <t xml:space="preserve">developer.garmin.com</t>
  </si>
  <si>
    <t xml:space="preserve">3.3</t>
  </si>
  <si>
    <t xml:space="preserve">后端接入</t>
  </si>
  <si>
    <r>
      <rPr>
        <sz val="10"/>
        <rFont val="Arial"/>
        <family val="0"/>
        <charset val="1"/>
      </rPr>
      <t xml:space="preserve">webhook </t>
    </r>
    <r>
      <rPr>
        <sz val="10"/>
        <rFont val="Noto Sans CJK SC"/>
        <family val="2"/>
      </rPr>
      <t xml:space="preserve">接收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数据标准化映射到 </t>
    </r>
    <r>
      <rPr>
        <sz val="10"/>
        <rFont val="Arial"/>
        <family val="0"/>
        <charset val="1"/>
      </rPr>
      <t xml:space="preserve">Checkin/</t>
    </r>
    <r>
      <rPr>
        <sz val="10"/>
        <rFont val="Noto Sans CJK SC"/>
        <family val="2"/>
      </rPr>
      <t xml:space="preserve">睡眠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心率表</t>
    </r>
    <r>
      <rPr>
        <sz val="10"/>
        <rFont val="Arial"/>
        <family val="0"/>
        <charset val="1"/>
      </rPr>
      <t xml:space="preserve">,dataSource </t>
    </r>
    <r>
      <rPr>
        <sz val="10"/>
        <rFont val="Noto Sans CJK SC"/>
        <family val="2"/>
      </rPr>
      <t xml:space="preserve">扩展</t>
    </r>
    <r>
      <rPr>
        <sz val="10"/>
        <rFont val="Arial"/>
        <family val="0"/>
        <charset val="1"/>
      </rPr>
      <t xml:space="preserve">(terra_garmin/terra_coros </t>
    </r>
    <r>
      <rPr>
        <sz val="10"/>
        <rFont val="Noto Sans CJK SC"/>
        <family val="2"/>
      </rPr>
      <t xml:space="preserve">等</t>
    </r>
    <r>
      <rPr>
        <sz val="10"/>
        <rFont val="Arial"/>
        <family val="0"/>
        <charset val="1"/>
      </rPr>
      <t xml:space="preserve">),</t>
    </r>
    <r>
      <rPr>
        <sz val="10"/>
        <rFont val="Noto Sans CJK SC"/>
        <family val="2"/>
      </rPr>
      <t xml:space="preserve">幂等去重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复用 </t>
    </r>
    <r>
      <rPr>
        <sz val="10"/>
        <rFont val="Arial"/>
        <family val="0"/>
        <charset val="1"/>
      </rPr>
      <t xml:space="preserve">V0.2.60 </t>
    </r>
    <r>
      <rPr>
        <sz val="10"/>
        <rFont val="Noto Sans CJK SC"/>
        <family val="2"/>
      </rPr>
      <t xml:space="preserve">范式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</si>
  <si>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1-2 </t>
    </r>
    <r>
      <rPr>
        <sz val="10"/>
        <rFont val="Noto Sans CJK SC"/>
        <family val="2"/>
      </rPr>
      <t xml:space="preserve">周</t>
    </r>
  </si>
  <si>
    <t xml:space="preserve">3.4</t>
  </si>
  <si>
    <t xml:space="preserve">前端授权流程</t>
  </si>
  <si>
    <t xml:space="preserve">小程序内引导→H5 页完成平台 OAuth 授权(复用 V0.2.63 H5 fallback 范式)→回小程序查看数据。</t>
  </si>
  <si>
    <t xml:space="preserve">3.5</t>
  </si>
  <si>
    <t xml:space="preserve">灰度测试与验收</t>
  </si>
  <si>
    <t xml:space="preserve">内部 10-20 人多品牌手表实测→数据准确性核对→老板签字验收。</t>
  </si>
  <si>
    <t xml:space="preserve">全员</t>
  </si>
  <si>
    <t xml:space="preserve">阶段3里程碑</t>
  </si>
  <si>
    <t xml:space="preserve">4.1</t>
  </si>
  <si>
    <t xml:space="preserve">小米商务对接</t>
  </si>
  <si>
    <t xml:space="preserve">小米健康云开放平台目前仅对生态链企业及合作伙伴开放,需商务渠道对接,非自助申请。</t>
  </si>
  <si>
    <t xml:space="preserve">商务</t>
  </si>
  <si>
    <t xml:space="preserve">不确定</t>
  </si>
  <si>
    <t xml:space="preserve">核实修正:原报告称2-4周自助申请有误</t>
  </si>
  <si>
    <t xml:space="preserve">4.2</t>
  </si>
  <si>
    <r>
      <rPr>
        <sz val="10"/>
        <rFont val="Arial"/>
        <family val="0"/>
        <charset val="1"/>
      </rPr>
      <t xml:space="preserve">vivo/OPPO </t>
    </r>
    <r>
      <rPr>
        <sz val="10"/>
        <rFont val="Noto Sans CJK SC"/>
        <family val="2"/>
      </rPr>
      <t xml:space="preserve">商务对接</t>
    </r>
  </si>
  <si>
    <t xml:space="preserve">两家健康开放平台未见公开自助申请入口,大概率合作伙伴制,商务对接。</t>
  </si>
  <si>
    <t xml:space="preserve">4.3</t>
  </si>
  <si>
    <t xml:space="preserve">宜准邮件对接</t>
  </si>
  <si>
    <t xml:space="preserve">无公开 API,邮件商务洽谈。</t>
  </si>
  <si>
    <t xml:space="preserve">4.4</t>
  </si>
  <si>
    <t xml:space="preserve">无 API 品牌兜底</t>
  </si>
  <si>
    <t xml:space="preserve">截图识别(已有 interpret screenshot V0.2.57-63)+ 文件导入,覆盖一切拿不到 API 的品牌。</t>
  </si>
  <si>
    <t xml:space="preserve">已具备</t>
  </si>
  <si>
    <t xml:space="preserve">5.1</t>
  </si>
  <si>
    <t xml:space="preserve">全链路真机验证</t>
  </si>
  <si>
    <t xml:space="preserve">各品牌手表→数据入库→今日页/月报/AI 教练消费,全链路真机回归。</t>
  </si>
  <si>
    <t xml:space="preserve">测试</t>
  </si>
  <si>
    <t xml:space="preserve">3.5,2.9</t>
  </si>
  <si>
    <t xml:space="preserve">5.2</t>
  </si>
  <si>
    <t xml:space="preserve">合规复核</t>
  </si>
  <si>
    <t xml:space="preserve">隐私政策更新(列明第三方平台与出境情况)、用户单独同意弹窗、撤回授权入口。法务签字。</t>
  </si>
  <si>
    <t xml:space="preserve">法务</t>
  </si>
  <si>
    <t xml:space="preserve">0.4,5.1</t>
  </si>
  <si>
    <t xml:space="preserve">5.3</t>
  </si>
  <si>
    <t xml:space="preserve">生产部署与监控</t>
  </si>
  <si>
    <t xml:space="preserve">部署、告警、数据同步失败重试监控。</t>
  </si>
  <si>
    <t xml:space="preserve">5.4</t>
  </si>
  <si>
    <t xml:space="preserve">项目总验收</t>
  </si>
  <si>
    <t xml:space="preserve">老板总验收签字,项目转入运营。</t>
  </si>
  <si>
    <t xml:space="preserve">5.2,5.3</t>
  </si>
  <si>
    <t xml:space="preserve">项目里程碑</t>
  </si>
  <si>
    <t xml:space="preserve">关键决策与里程碑签字确认表</t>
  </si>
  <si>
    <t xml:space="preserve">事项</t>
  </si>
  <si>
    <t xml:space="preserve">确认内容</t>
  </si>
  <si>
    <t xml:space="preserve">责任人</t>
  </si>
  <si>
    <t xml:space="preserve">负责人签字/日期</t>
  </si>
  <si>
    <t xml:space="preserve">审批人签字/日期</t>
  </si>
  <si>
    <t xml:space="preserve">技术路线确认</t>
  </si>
  <si>
    <t xml:space="preserve">以微信小程序为主,原生 App SDK 路线暂缓</t>
  </si>
  <si>
    <t xml:space="preserve">未签</t>
  </si>
  <si>
    <t xml:space="preserve">选定 Terra / Junction / Validic(圈选)及套餐档位</t>
  </si>
  <si>
    <t xml:space="preserve">月度订阅费用批准:¥______/月</t>
  </si>
  <si>
    <t xml:space="preserve">合规立项</t>
  </si>
  <si>
    <t xml:space="preserve">健康数据出境 PIPL 评估方案批准</t>
  </si>
  <si>
    <t xml:space="preserve">华为接入立项</t>
  </si>
  <si>
    <t xml:space="preserve">鸿蒙应用开发立项批准</t>
  </si>
  <si>
    <t xml:space="preserve">阶段1验收</t>
  </si>
  <si>
    <t xml:space="preserve">零成本验证报告确认,最终选型定稿</t>
  </si>
  <si>
    <t xml:space="preserve">华为测试材料定稿</t>
  </si>
  <si>
    <t xml:space="preserve">申请资料清单/企业介绍/隐私政策三件套</t>
  </si>
  <si>
    <t xml:space="preserve">技术+法务</t>
  </si>
  <si>
    <t xml:space="preserve">华为商用材料定稿</t>
  </si>
  <si>
    <t xml:space="preserve">举证材料.zip + 上线 Checklist</t>
  </si>
  <si>
    <t xml:space="preserve">阶段2验收</t>
  </si>
  <si>
    <t xml:space="preserve">华为数据全链路验证通过</t>
  </si>
  <si>
    <t xml:space="preserve">聚合平台签约</t>
  </si>
  <si>
    <t xml:space="preserve">合同条款与付款方式确认</t>
  </si>
  <si>
    <t xml:space="preserve">阶段3验收</t>
  </si>
  <si>
    <t xml:space="preserve">聚合平台灰度测试通过</t>
  </si>
  <si>
    <t xml:space="preserve">隐私政策/用户同意/撤回授权上线确认</t>
  </si>
  <si>
    <t xml:space="preserve">全部品牌接入验收,项目转运营</t>
  </si>
  <si>
    <t xml:space="preserve">说明:黄色栏为手写/电子签字区;「状态」改为 已签 后,请同步更新「任务清单」对应行。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</si>
</sst>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D9D78"/>
      <name val="Noto Sans CJK SC"/>
      <family val="2"/>
      <charset val="1"/>
    </font>
    <font>
      <sz val="9"/>
      <color rgb="FF808080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13"/>
      <color rgb="FF2D9D78"/>
      <name val="Noto Sans CJK SC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D9D78"/>
        <bgColor rgb="FF00808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D9D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D9D78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6"/>
    <col collapsed="false" customWidth="true" hidden="false" outlineLevel="0" max="5" min="3" style="1" width="10"/>
    <col collapsed="false" customWidth="true" hidden="false" outlineLevel="0" max="6" min="6" style="1" width="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6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6" t="s">
        <v>9</v>
      </c>
      <c r="C5" s="7" t="n">
        <f aca="false">COUNTIF(任务清单!$B$2:$B$33,A5)</f>
        <v>5</v>
      </c>
      <c r="D5" s="7" t="n">
        <f aca="false">COUNTIFS(任务清单!$B$2:$B$33,A5,任务清单!$H$2:$H$33,"已完成")</f>
        <v>0</v>
      </c>
      <c r="E5" s="8" t="n">
        <f aca="false">IF(C5=0,0,D5/C5)</f>
        <v>0</v>
      </c>
      <c r="F5" s="7" t="n">
        <f aca="false">COUNTIFS(任务清单!$B$2:$B$33,A5,任务清单!$I$2:$I$33,"是")</f>
        <v>5</v>
      </c>
    </row>
    <row r="6" customFormat="false" ht="15" hidden="false" customHeight="true" outlineLevel="0" collapsed="false">
      <c r="A6" s="5" t="s">
        <v>10</v>
      </c>
      <c r="B6" s="9" t="s">
        <v>11</v>
      </c>
      <c r="C6" s="7" t="n">
        <f aca="false">COUNTIF(任务清单!$B$2:$B$33,A6)</f>
        <v>5</v>
      </c>
      <c r="D6" s="7" t="n">
        <f aca="false">COUNTIFS(任务清单!$B$2:$B$33,A6,任务清单!$H$2:$H$33,"已完成")</f>
        <v>1</v>
      </c>
      <c r="E6" s="8" t="n">
        <f aca="false">IF(C6=0,0,D6/C6)</f>
        <v>0.2</v>
      </c>
      <c r="F6" s="7" t="n">
        <f aca="false">COUNTIFS(任务清单!$B$2:$B$33,A6,任务清单!$I$2:$I$33,"是")</f>
        <v>1</v>
      </c>
    </row>
    <row r="7" customFormat="false" ht="15" hidden="false" customHeight="true" outlineLevel="0" collapsed="false">
      <c r="A7" s="5" t="s">
        <v>12</v>
      </c>
      <c r="B7" s="6" t="s">
        <v>13</v>
      </c>
      <c r="C7" s="7" t="n">
        <f aca="false">COUNTIF(任务清单!$B$2:$B$33,A7)</f>
        <v>9</v>
      </c>
      <c r="D7" s="7" t="n">
        <f aca="false">COUNTIFS(任务清单!$B$2:$B$33,A7,任务清单!$H$2:$H$33,"已完成")</f>
        <v>0</v>
      </c>
      <c r="E7" s="8" t="n">
        <f aca="false">IF(C7=0,0,D7/C7)</f>
        <v>0</v>
      </c>
      <c r="F7" s="7" t="n">
        <f aca="false">COUNTIFS(任务清单!$B$2:$B$33,A7,任务清单!$I$2:$I$33,"是")</f>
        <v>3</v>
      </c>
    </row>
    <row r="8" customFormat="false" ht="29.25" hidden="false" customHeight="true" outlineLevel="0" collapsed="false">
      <c r="A8" s="5" t="s">
        <v>14</v>
      </c>
      <c r="B8" s="6" t="s">
        <v>15</v>
      </c>
      <c r="C8" s="7" t="n">
        <f aca="false">COUNTIF(任务清单!$B$2:$B$33,A8)</f>
        <v>5</v>
      </c>
      <c r="D8" s="7" t="n">
        <f aca="false">COUNTIFS(任务清单!$B$2:$B$33,A8,任务清单!$H$2:$H$33,"已完成")</f>
        <v>0</v>
      </c>
      <c r="E8" s="8" t="n">
        <f aca="false">IF(C8=0,0,D8/C8)</f>
        <v>0</v>
      </c>
      <c r="F8" s="7" t="n">
        <f aca="false">COUNTIFS(任务清单!$B$2:$B$33,A8,任务清单!$I$2:$I$33,"是")</f>
        <v>2</v>
      </c>
    </row>
    <row r="9" customFormat="false" ht="15" hidden="false" customHeight="true" outlineLevel="0" collapsed="false">
      <c r="A9" s="5" t="s">
        <v>16</v>
      </c>
      <c r="B9" s="6" t="s">
        <v>17</v>
      </c>
      <c r="C9" s="7" t="n">
        <f aca="false">COUNTIF(任务清单!$B$2:$B$33,A9)</f>
        <v>4</v>
      </c>
      <c r="D9" s="7" t="n">
        <f aca="false">COUNTIFS(任务清单!$B$2:$B$33,A9,任务清单!$H$2:$H$33,"已完成")</f>
        <v>1</v>
      </c>
      <c r="E9" s="8" t="n">
        <f aca="false">IF(C9=0,0,D9/C9)</f>
        <v>0.25</v>
      </c>
      <c r="F9" s="7" t="n">
        <f aca="false">COUNTIFS(任务清单!$B$2:$B$33,A9,任务清单!$I$2:$I$33,"是")</f>
        <v>0</v>
      </c>
    </row>
    <row r="10" customFormat="false" ht="15" hidden="false" customHeight="true" outlineLevel="0" collapsed="false">
      <c r="A10" s="5" t="s">
        <v>18</v>
      </c>
      <c r="B10" s="6" t="s">
        <v>19</v>
      </c>
      <c r="C10" s="7" t="n">
        <f aca="false">COUNTIF(任务清单!$B$2:$B$33,A10)</f>
        <v>4</v>
      </c>
      <c r="D10" s="7" t="n">
        <f aca="false">COUNTIFS(任务清单!$B$2:$B$33,A10,任务清单!$H$2:$H$33,"已完成")</f>
        <v>0</v>
      </c>
      <c r="E10" s="8" t="n">
        <f aca="false">IF(C10=0,0,D10/C10)</f>
        <v>0</v>
      </c>
      <c r="F10" s="7" t="n">
        <f aca="false">COUNTIFS(任务清单!$B$2:$B$33,A10,任务清单!$I$2:$I$33,"是")</f>
        <v>2</v>
      </c>
    </row>
    <row r="11" customFormat="false" ht="15" hidden="false" customHeight="true" outlineLevel="0" collapsed="false">
      <c r="A11" s="10" t="s">
        <v>20</v>
      </c>
      <c r="B11" s="11"/>
      <c r="C11" s="11" t="n">
        <f aca="false">SUM(C5:C10)</f>
        <v>32</v>
      </c>
      <c r="D11" s="11" t="n">
        <f aca="false">SUM(D5:D10)</f>
        <v>2</v>
      </c>
      <c r="E11" s="12" t="n">
        <f aca="false">IF(C11=0,0,D11/C11)</f>
        <v>0.0625</v>
      </c>
      <c r="F11" s="11" t="n">
        <f aca="false">SUM(F5:F10)</f>
        <v>13</v>
      </c>
    </row>
    <row r="13" customFormat="false" ht="15" hidden="false" customHeight="true" outlineLevel="0" collapsed="false">
      <c r="A13" s="13" t="s">
        <v>21</v>
      </c>
    </row>
    <row r="14" customFormat="false" ht="13.5" hidden="false" customHeight="true" outlineLevel="0" collapsed="false">
      <c r="A14" s="14" t="s">
        <v>22</v>
      </c>
      <c r="B14" s="14"/>
      <c r="C14" s="14"/>
      <c r="D14" s="14"/>
      <c r="E14" s="14"/>
      <c r="F14" s="14"/>
    </row>
    <row r="15" customFormat="false" ht="13.5" hidden="false" customHeight="true" outlineLevel="0" collapsed="false">
      <c r="A15" s="14" t="s">
        <v>23</v>
      </c>
      <c r="B15" s="14"/>
      <c r="C15" s="14"/>
      <c r="D15" s="14"/>
      <c r="E15" s="14"/>
      <c r="F15" s="14"/>
    </row>
    <row r="16" customFormat="false" ht="13.5" hidden="false" customHeight="true" outlineLevel="0" collapsed="false">
      <c r="A16" s="14" t="s">
        <v>24</v>
      </c>
      <c r="B16" s="14"/>
      <c r="C16" s="14"/>
      <c r="D16" s="14"/>
      <c r="E16" s="14"/>
      <c r="F16" s="14"/>
    </row>
    <row r="17" customFormat="false" ht="13.5" hidden="false" customHeight="true" outlineLevel="0" collapsed="false">
      <c r="A17" s="14" t="s">
        <v>25</v>
      </c>
      <c r="B17" s="14"/>
      <c r="C17" s="14"/>
      <c r="D17" s="14"/>
      <c r="E17" s="14"/>
      <c r="F17" s="14"/>
    </row>
  </sheetData>
  <mergeCells count="4">
    <mergeCell ref="A14:F14"/>
    <mergeCell ref="A15:F15"/>
    <mergeCell ref="A16:F16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6"/>
    <col collapsed="false" customWidth="true" hidden="false" outlineLevel="0" max="3" min="3" style="1" width="24"/>
    <col collapsed="false" customWidth="true" hidden="false" outlineLevel="0" max="4" min="4" style="1" width="52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2" min="12" style="1" width="22"/>
  </cols>
  <sheetData>
    <row r="1" customFormat="false" ht="32.25" hidden="false" customHeight="true" outlineLevel="0" collapsed="false">
      <c r="A1" s="4" t="s">
        <v>26</v>
      </c>
      <c r="B1" s="4" t="s">
        <v>2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</row>
    <row r="2" customFormat="false" ht="57.75" hidden="false" customHeight="true" outlineLevel="0" collapsed="false">
      <c r="A2" s="9" t="s">
        <v>37</v>
      </c>
      <c r="B2" s="6" t="s">
        <v>8</v>
      </c>
      <c r="C2" s="6" t="s">
        <v>38</v>
      </c>
      <c r="D2" s="6" t="s">
        <v>39</v>
      </c>
      <c r="E2" s="6" t="s">
        <v>40</v>
      </c>
      <c r="F2" s="9" t="s">
        <v>41</v>
      </c>
      <c r="G2" s="9" t="s">
        <v>42</v>
      </c>
      <c r="H2" s="6" t="s">
        <v>43</v>
      </c>
      <c r="I2" s="15" t="s">
        <v>44</v>
      </c>
      <c r="J2" s="6"/>
      <c r="K2" s="6"/>
      <c r="L2" s="6" t="s">
        <v>45</v>
      </c>
    </row>
    <row r="3" customFormat="false" ht="57.75" hidden="false" customHeight="true" outlineLevel="0" collapsed="false">
      <c r="A3" s="9" t="s">
        <v>46</v>
      </c>
      <c r="B3" s="6" t="s">
        <v>8</v>
      </c>
      <c r="C3" s="6" t="s">
        <v>47</v>
      </c>
      <c r="D3" s="6" t="s">
        <v>48</v>
      </c>
      <c r="E3" s="6" t="s">
        <v>40</v>
      </c>
      <c r="F3" s="9" t="s">
        <v>37</v>
      </c>
      <c r="G3" s="9" t="s">
        <v>49</v>
      </c>
      <c r="H3" s="6" t="s">
        <v>43</v>
      </c>
      <c r="I3" s="15" t="s">
        <v>44</v>
      </c>
      <c r="J3" s="6"/>
      <c r="K3" s="6"/>
      <c r="L3" s="6" t="s">
        <v>50</v>
      </c>
    </row>
    <row r="4" customFormat="false" ht="29.25" hidden="false" customHeight="true" outlineLevel="0" collapsed="false">
      <c r="A4" s="9" t="s">
        <v>51</v>
      </c>
      <c r="B4" s="6" t="s">
        <v>8</v>
      </c>
      <c r="C4" s="6" t="s">
        <v>52</v>
      </c>
      <c r="D4" s="9" t="s">
        <v>53</v>
      </c>
      <c r="E4" s="6" t="s">
        <v>54</v>
      </c>
      <c r="F4" s="9" t="s">
        <v>46</v>
      </c>
      <c r="G4" s="9" t="s">
        <v>42</v>
      </c>
      <c r="H4" s="6" t="s">
        <v>43</v>
      </c>
      <c r="I4" s="15" t="s">
        <v>44</v>
      </c>
      <c r="J4" s="6"/>
      <c r="K4" s="6"/>
      <c r="L4" s="6"/>
    </row>
    <row r="5" customFormat="false" ht="43.5" hidden="false" customHeight="true" outlineLevel="0" collapsed="false">
      <c r="A5" s="9" t="s">
        <v>55</v>
      </c>
      <c r="B5" s="6" t="s">
        <v>8</v>
      </c>
      <c r="C5" s="6" t="s">
        <v>56</v>
      </c>
      <c r="D5" s="6" t="s">
        <v>57</v>
      </c>
      <c r="E5" s="6" t="s">
        <v>58</v>
      </c>
      <c r="F5" s="9" t="s">
        <v>37</v>
      </c>
      <c r="G5" s="9" t="s">
        <v>59</v>
      </c>
      <c r="H5" s="6" t="s">
        <v>43</v>
      </c>
      <c r="I5" s="15" t="s">
        <v>44</v>
      </c>
      <c r="J5" s="6"/>
      <c r="K5" s="6"/>
      <c r="L5" s="6" t="s">
        <v>60</v>
      </c>
    </row>
    <row r="6" customFormat="false" ht="43.5" hidden="false" customHeight="true" outlineLevel="0" collapsed="false">
      <c r="A6" s="9" t="s">
        <v>61</v>
      </c>
      <c r="B6" s="6" t="s">
        <v>8</v>
      </c>
      <c r="C6" s="6" t="s">
        <v>62</v>
      </c>
      <c r="D6" s="6" t="s">
        <v>63</v>
      </c>
      <c r="E6" s="6" t="s">
        <v>40</v>
      </c>
      <c r="F6" s="9" t="s">
        <v>37</v>
      </c>
      <c r="G6" s="9" t="s">
        <v>42</v>
      </c>
      <c r="H6" s="6" t="s">
        <v>43</v>
      </c>
      <c r="I6" s="15" t="s">
        <v>44</v>
      </c>
      <c r="J6" s="6"/>
      <c r="K6" s="6"/>
      <c r="L6" s="6"/>
    </row>
    <row r="7" customFormat="false" ht="43.5" hidden="false" customHeight="true" outlineLevel="0" collapsed="false">
      <c r="A7" s="9" t="s">
        <v>64</v>
      </c>
      <c r="B7" s="6" t="s">
        <v>10</v>
      </c>
      <c r="C7" s="6" t="s">
        <v>65</v>
      </c>
      <c r="D7" s="9" t="s">
        <v>66</v>
      </c>
      <c r="E7" s="6" t="s">
        <v>67</v>
      </c>
      <c r="F7" s="9" t="s">
        <v>46</v>
      </c>
      <c r="G7" s="9" t="s">
        <v>68</v>
      </c>
      <c r="H7" s="6" t="s">
        <v>43</v>
      </c>
      <c r="I7" s="6" t="s">
        <v>69</v>
      </c>
      <c r="J7" s="6"/>
      <c r="K7" s="6"/>
      <c r="L7" s="9" t="s">
        <v>70</v>
      </c>
    </row>
    <row r="8" customFormat="false" ht="29.25" hidden="false" customHeight="true" outlineLevel="0" collapsed="false">
      <c r="A8" s="9" t="s">
        <v>71</v>
      </c>
      <c r="B8" s="6" t="s">
        <v>10</v>
      </c>
      <c r="C8" s="6" t="s">
        <v>72</v>
      </c>
      <c r="D8" s="9" t="s">
        <v>73</v>
      </c>
      <c r="E8" s="6" t="s">
        <v>67</v>
      </c>
      <c r="F8" s="9" t="s">
        <v>46</v>
      </c>
      <c r="G8" s="9" t="s">
        <v>68</v>
      </c>
      <c r="H8" s="6" t="s">
        <v>43</v>
      </c>
      <c r="I8" s="6" t="s">
        <v>69</v>
      </c>
      <c r="J8" s="6"/>
      <c r="K8" s="6"/>
      <c r="L8" s="6"/>
    </row>
    <row r="9" customFormat="false" ht="29.25" hidden="false" customHeight="true" outlineLevel="0" collapsed="false">
      <c r="A9" s="9" t="s">
        <v>74</v>
      </c>
      <c r="B9" s="6" t="s">
        <v>10</v>
      </c>
      <c r="C9" s="6" t="s">
        <v>75</v>
      </c>
      <c r="D9" s="6" t="s">
        <v>76</v>
      </c>
      <c r="E9" s="6" t="s">
        <v>77</v>
      </c>
      <c r="F9" s="9" t="s">
        <v>41</v>
      </c>
      <c r="G9" s="9" t="s">
        <v>78</v>
      </c>
      <c r="H9" s="6" t="s">
        <v>5</v>
      </c>
      <c r="I9" s="6" t="s">
        <v>69</v>
      </c>
      <c r="J9" s="6"/>
      <c r="K9" s="6"/>
      <c r="L9" s="6" t="s">
        <v>79</v>
      </c>
    </row>
    <row r="10" customFormat="false" ht="29.25" hidden="false" customHeight="true" outlineLevel="0" collapsed="false">
      <c r="A10" s="9" t="s">
        <v>80</v>
      </c>
      <c r="B10" s="6" t="s">
        <v>10</v>
      </c>
      <c r="C10" s="6" t="s">
        <v>81</v>
      </c>
      <c r="D10" s="6" t="s">
        <v>82</v>
      </c>
      <c r="E10" s="6" t="s">
        <v>67</v>
      </c>
      <c r="F10" s="9" t="s">
        <v>41</v>
      </c>
      <c r="G10" s="9" t="s">
        <v>42</v>
      </c>
      <c r="H10" s="6" t="s">
        <v>43</v>
      </c>
      <c r="I10" s="6" t="s">
        <v>69</v>
      </c>
      <c r="J10" s="6"/>
      <c r="K10" s="6"/>
      <c r="L10" s="6"/>
    </row>
    <row r="11" customFormat="false" ht="15" hidden="false" customHeight="true" outlineLevel="0" collapsed="false">
      <c r="A11" s="9" t="s">
        <v>83</v>
      </c>
      <c r="B11" s="6" t="s">
        <v>10</v>
      </c>
      <c r="C11" s="6" t="s">
        <v>84</v>
      </c>
      <c r="D11" s="6" t="s">
        <v>85</v>
      </c>
      <c r="E11" s="6" t="s">
        <v>86</v>
      </c>
      <c r="F11" s="9" t="s">
        <v>87</v>
      </c>
      <c r="G11" s="9" t="s">
        <v>42</v>
      </c>
      <c r="H11" s="6" t="s">
        <v>43</v>
      </c>
      <c r="I11" s="15" t="s">
        <v>44</v>
      </c>
      <c r="J11" s="6"/>
      <c r="K11" s="6"/>
      <c r="L11" s="6" t="s">
        <v>88</v>
      </c>
    </row>
    <row r="12" customFormat="false" ht="29.25" hidden="false" customHeight="true" outlineLevel="0" collapsed="false">
      <c r="A12" s="9" t="s">
        <v>89</v>
      </c>
      <c r="B12" s="6" t="s">
        <v>12</v>
      </c>
      <c r="C12" s="6" t="s">
        <v>90</v>
      </c>
      <c r="D12" s="9" t="s">
        <v>91</v>
      </c>
      <c r="E12" s="6" t="s">
        <v>67</v>
      </c>
      <c r="F12" s="9" t="s">
        <v>61</v>
      </c>
      <c r="G12" s="9" t="s">
        <v>78</v>
      </c>
      <c r="H12" s="6" t="s">
        <v>43</v>
      </c>
      <c r="I12" s="6" t="s">
        <v>69</v>
      </c>
      <c r="J12" s="6"/>
      <c r="K12" s="6"/>
      <c r="L12" s="6"/>
    </row>
    <row r="13" customFormat="false" ht="43.5" hidden="false" customHeight="true" outlineLevel="0" collapsed="false">
      <c r="A13" s="9" t="s">
        <v>92</v>
      </c>
      <c r="B13" s="6" t="s">
        <v>12</v>
      </c>
      <c r="C13" s="6" t="s">
        <v>93</v>
      </c>
      <c r="D13" s="6" t="s">
        <v>94</v>
      </c>
      <c r="E13" s="6" t="s">
        <v>95</v>
      </c>
      <c r="F13" s="9" t="s">
        <v>89</v>
      </c>
      <c r="G13" s="9" t="s">
        <v>96</v>
      </c>
      <c r="H13" s="6" t="s">
        <v>43</v>
      </c>
      <c r="I13" s="6" t="s">
        <v>69</v>
      </c>
      <c r="J13" s="6"/>
      <c r="K13" s="6"/>
      <c r="L13" s="6" t="s">
        <v>97</v>
      </c>
    </row>
    <row r="14" customFormat="false" ht="29.25" hidden="false" customHeight="true" outlineLevel="0" collapsed="false">
      <c r="A14" s="9" t="s">
        <v>98</v>
      </c>
      <c r="B14" s="6" t="s">
        <v>12</v>
      </c>
      <c r="C14" s="6" t="s">
        <v>99</v>
      </c>
      <c r="D14" s="9" t="s">
        <v>100</v>
      </c>
      <c r="E14" s="6" t="s">
        <v>67</v>
      </c>
      <c r="F14" s="9" t="s">
        <v>92</v>
      </c>
      <c r="G14" s="9" t="s">
        <v>78</v>
      </c>
      <c r="H14" s="6" t="s">
        <v>43</v>
      </c>
      <c r="I14" s="6" t="s">
        <v>69</v>
      </c>
      <c r="J14" s="6"/>
      <c r="K14" s="6"/>
      <c r="L14" s="6"/>
    </row>
    <row r="15" customFormat="false" ht="29.25" hidden="false" customHeight="true" outlineLevel="0" collapsed="false">
      <c r="A15" s="9" t="s">
        <v>101</v>
      </c>
      <c r="B15" s="6" t="s">
        <v>12</v>
      </c>
      <c r="C15" s="6" t="s">
        <v>102</v>
      </c>
      <c r="D15" s="6" t="s">
        <v>103</v>
      </c>
      <c r="E15" s="6" t="s">
        <v>104</v>
      </c>
      <c r="F15" s="9" t="s">
        <v>98</v>
      </c>
      <c r="G15" s="9" t="s">
        <v>68</v>
      </c>
      <c r="H15" s="6" t="s">
        <v>43</v>
      </c>
      <c r="I15" s="15" t="s">
        <v>44</v>
      </c>
      <c r="J15" s="6"/>
      <c r="K15" s="6"/>
      <c r="L15" s="6" t="s">
        <v>105</v>
      </c>
    </row>
    <row r="16" customFormat="false" ht="43.5" hidden="false" customHeight="true" outlineLevel="0" collapsed="false">
      <c r="A16" s="9" t="s">
        <v>106</v>
      </c>
      <c r="B16" s="6" t="s">
        <v>12</v>
      </c>
      <c r="C16" s="6" t="s">
        <v>107</v>
      </c>
      <c r="D16" s="6" t="s">
        <v>108</v>
      </c>
      <c r="E16" s="6" t="s">
        <v>67</v>
      </c>
      <c r="F16" s="9" t="s">
        <v>101</v>
      </c>
      <c r="G16" s="9" t="s">
        <v>109</v>
      </c>
      <c r="H16" s="6" t="s">
        <v>43</v>
      </c>
      <c r="I16" s="6" t="s">
        <v>69</v>
      </c>
      <c r="J16" s="6"/>
      <c r="K16" s="6"/>
      <c r="L16" s="6" t="s">
        <v>110</v>
      </c>
    </row>
    <row r="17" customFormat="false" ht="29.25" hidden="false" customHeight="true" outlineLevel="0" collapsed="false">
      <c r="A17" s="9" t="s">
        <v>111</v>
      </c>
      <c r="B17" s="6" t="s">
        <v>12</v>
      </c>
      <c r="C17" s="6" t="s">
        <v>112</v>
      </c>
      <c r="D17" s="6" t="s">
        <v>113</v>
      </c>
      <c r="E17" s="6" t="s">
        <v>114</v>
      </c>
      <c r="F17" s="9" t="s">
        <v>106</v>
      </c>
      <c r="G17" s="9" t="s">
        <v>115</v>
      </c>
      <c r="H17" s="6" t="s">
        <v>43</v>
      </c>
      <c r="I17" s="6" t="s">
        <v>69</v>
      </c>
      <c r="J17" s="6"/>
      <c r="K17" s="6"/>
      <c r="L17" s="6"/>
    </row>
    <row r="18" customFormat="false" ht="29.25" hidden="false" customHeight="true" outlineLevel="0" collapsed="false">
      <c r="A18" s="9" t="s">
        <v>116</v>
      </c>
      <c r="B18" s="6" t="s">
        <v>12</v>
      </c>
      <c r="C18" s="6" t="s">
        <v>117</v>
      </c>
      <c r="D18" s="6" t="s">
        <v>118</v>
      </c>
      <c r="E18" s="6" t="s">
        <v>67</v>
      </c>
      <c r="F18" s="9" t="s">
        <v>111</v>
      </c>
      <c r="G18" s="9" t="s">
        <v>68</v>
      </c>
      <c r="H18" s="6" t="s">
        <v>43</v>
      </c>
      <c r="I18" s="15" t="s">
        <v>44</v>
      </c>
      <c r="J18" s="6"/>
      <c r="K18" s="6"/>
      <c r="L18" s="6" t="s">
        <v>105</v>
      </c>
    </row>
    <row r="19" customFormat="false" ht="29.25" hidden="false" customHeight="true" outlineLevel="0" collapsed="false">
      <c r="A19" s="9" t="s">
        <v>119</v>
      </c>
      <c r="B19" s="6" t="s">
        <v>12</v>
      </c>
      <c r="C19" s="6" t="s">
        <v>120</v>
      </c>
      <c r="D19" s="6" t="s">
        <v>121</v>
      </c>
      <c r="E19" s="6" t="s">
        <v>67</v>
      </c>
      <c r="F19" s="9" t="s">
        <v>116</v>
      </c>
      <c r="G19" s="9" t="s">
        <v>122</v>
      </c>
      <c r="H19" s="6" t="s">
        <v>43</v>
      </c>
      <c r="I19" s="6" t="s">
        <v>69</v>
      </c>
      <c r="J19" s="6"/>
      <c r="K19" s="6"/>
      <c r="L19" s="6"/>
    </row>
    <row r="20" customFormat="false" ht="29.25" hidden="false" customHeight="true" outlineLevel="0" collapsed="false">
      <c r="A20" s="9" t="s">
        <v>123</v>
      </c>
      <c r="B20" s="6" t="s">
        <v>12</v>
      </c>
      <c r="C20" s="6" t="s">
        <v>124</v>
      </c>
      <c r="D20" s="6" t="s">
        <v>125</v>
      </c>
      <c r="E20" s="6" t="s">
        <v>126</v>
      </c>
      <c r="F20" s="9" t="s">
        <v>119</v>
      </c>
      <c r="G20" s="9" t="s">
        <v>78</v>
      </c>
      <c r="H20" s="6" t="s">
        <v>43</v>
      </c>
      <c r="I20" s="15" t="s">
        <v>44</v>
      </c>
      <c r="J20" s="6"/>
      <c r="K20" s="6"/>
      <c r="L20" s="6" t="s">
        <v>127</v>
      </c>
    </row>
    <row r="21" customFormat="false" ht="29.25" hidden="false" customHeight="true" outlineLevel="0" collapsed="false">
      <c r="A21" s="9" t="s">
        <v>128</v>
      </c>
      <c r="B21" s="6" t="s">
        <v>14</v>
      </c>
      <c r="C21" s="6" t="s">
        <v>129</v>
      </c>
      <c r="D21" s="6" t="s">
        <v>130</v>
      </c>
      <c r="E21" s="6" t="s">
        <v>54</v>
      </c>
      <c r="F21" s="9" t="s">
        <v>131</v>
      </c>
      <c r="G21" s="9" t="s">
        <v>132</v>
      </c>
      <c r="H21" s="6" t="s">
        <v>43</v>
      </c>
      <c r="I21" s="15" t="s">
        <v>44</v>
      </c>
      <c r="J21" s="6"/>
      <c r="K21" s="6"/>
      <c r="L21" s="6"/>
    </row>
    <row r="22" customFormat="false" ht="29.25" hidden="false" customHeight="true" outlineLevel="0" collapsed="false">
      <c r="A22" s="9" t="s">
        <v>133</v>
      </c>
      <c r="B22" s="6" t="s">
        <v>14</v>
      </c>
      <c r="C22" s="6" t="s">
        <v>134</v>
      </c>
      <c r="D22" s="6" t="s">
        <v>135</v>
      </c>
      <c r="E22" s="6" t="s">
        <v>67</v>
      </c>
      <c r="F22" s="9" t="s">
        <v>128</v>
      </c>
      <c r="G22" s="9" t="s">
        <v>59</v>
      </c>
      <c r="H22" s="6" t="s">
        <v>43</v>
      </c>
      <c r="I22" s="6" t="s">
        <v>69</v>
      </c>
      <c r="J22" s="6"/>
      <c r="K22" s="6"/>
      <c r="L22" s="9" t="s">
        <v>136</v>
      </c>
    </row>
    <row r="23" customFormat="false" ht="43.5" hidden="false" customHeight="true" outlineLevel="0" collapsed="false">
      <c r="A23" s="9" t="s">
        <v>137</v>
      </c>
      <c r="B23" s="6" t="s">
        <v>14</v>
      </c>
      <c r="C23" s="6" t="s">
        <v>138</v>
      </c>
      <c r="D23" s="9" t="s">
        <v>139</v>
      </c>
      <c r="E23" s="6" t="s">
        <v>67</v>
      </c>
      <c r="F23" s="9" t="s">
        <v>128</v>
      </c>
      <c r="G23" s="9" t="s">
        <v>140</v>
      </c>
      <c r="H23" s="6" t="s">
        <v>43</v>
      </c>
      <c r="I23" s="6" t="s">
        <v>69</v>
      </c>
      <c r="J23" s="6"/>
      <c r="K23" s="6"/>
      <c r="L23" s="6"/>
    </row>
    <row r="24" customFormat="false" ht="29.25" hidden="false" customHeight="true" outlineLevel="0" collapsed="false">
      <c r="A24" s="9" t="s">
        <v>141</v>
      </c>
      <c r="B24" s="6" t="s">
        <v>14</v>
      </c>
      <c r="C24" s="6" t="s">
        <v>142</v>
      </c>
      <c r="D24" s="6" t="s">
        <v>143</v>
      </c>
      <c r="E24" s="6" t="s">
        <v>77</v>
      </c>
      <c r="F24" s="9" t="s">
        <v>137</v>
      </c>
      <c r="G24" s="9" t="s">
        <v>132</v>
      </c>
      <c r="H24" s="6" t="s">
        <v>43</v>
      </c>
      <c r="I24" s="6" t="s">
        <v>69</v>
      </c>
      <c r="J24" s="6"/>
      <c r="K24" s="6"/>
      <c r="L24" s="6"/>
    </row>
    <row r="25" customFormat="false" ht="29.25" hidden="false" customHeight="true" outlineLevel="0" collapsed="false">
      <c r="A25" s="9" t="s">
        <v>144</v>
      </c>
      <c r="B25" s="6" t="s">
        <v>14</v>
      </c>
      <c r="C25" s="6" t="s">
        <v>145</v>
      </c>
      <c r="D25" s="6" t="s">
        <v>146</v>
      </c>
      <c r="E25" s="6" t="s">
        <v>147</v>
      </c>
      <c r="F25" s="9" t="s">
        <v>141</v>
      </c>
      <c r="G25" s="9" t="s">
        <v>132</v>
      </c>
      <c r="H25" s="6" t="s">
        <v>43</v>
      </c>
      <c r="I25" s="15" t="s">
        <v>44</v>
      </c>
      <c r="J25" s="6"/>
      <c r="K25" s="6"/>
      <c r="L25" s="6" t="s">
        <v>148</v>
      </c>
    </row>
    <row r="26" customFormat="false" ht="29.25" hidden="false" customHeight="true" outlineLevel="0" collapsed="false">
      <c r="A26" s="9" t="s">
        <v>149</v>
      </c>
      <c r="B26" s="6" t="s">
        <v>16</v>
      </c>
      <c r="C26" s="6" t="s">
        <v>150</v>
      </c>
      <c r="D26" s="6" t="s">
        <v>151</v>
      </c>
      <c r="E26" s="6" t="s">
        <v>152</v>
      </c>
      <c r="F26" s="9" t="s">
        <v>144</v>
      </c>
      <c r="G26" s="6" t="s">
        <v>153</v>
      </c>
      <c r="H26" s="6" t="s">
        <v>43</v>
      </c>
      <c r="I26" s="6" t="s">
        <v>69</v>
      </c>
      <c r="J26" s="6"/>
      <c r="K26" s="6"/>
      <c r="L26" s="6" t="s">
        <v>154</v>
      </c>
    </row>
    <row r="27" customFormat="false" ht="29.25" hidden="false" customHeight="true" outlineLevel="0" collapsed="false">
      <c r="A27" s="9" t="s">
        <v>155</v>
      </c>
      <c r="B27" s="6" t="s">
        <v>16</v>
      </c>
      <c r="C27" s="9" t="s">
        <v>156</v>
      </c>
      <c r="D27" s="6" t="s">
        <v>157</v>
      </c>
      <c r="E27" s="6" t="s">
        <v>152</v>
      </c>
      <c r="F27" s="9" t="s">
        <v>144</v>
      </c>
      <c r="G27" s="6" t="s">
        <v>153</v>
      </c>
      <c r="H27" s="6" t="s">
        <v>43</v>
      </c>
      <c r="I27" s="6" t="s">
        <v>69</v>
      </c>
      <c r="J27" s="6"/>
      <c r="K27" s="6"/>
      <c r="L27" s="6"/>
    </row>
    <row r="28" customFormat="false" ht="29.25" hidden="false" customHeight="true" outlineLevel="0" collapsed="false">
      <c r="A28" s="9" t="s">
        <v>158</v>
      </c>
      <c r="B28" s="6" t="s">
        <v>16</v>
      </c>
      <c r="C28" s="6" t="s">
        <v>159</v>
      </c>
      <c r="D28" s="6" t="s">
        <v>160</v>
      </c>
      <c r="E28" s="6" t="s">
        <v>152</v>
      </c>
      <c r="F28" s="9" t="s">
        <v>144</v>
      </c>
      <c r="G28" s="6" t="s">
        <v>153</v>
      </c>
      <c r="H28" s="6" t="s">
        <v>43</v>
      </c>
      <c r="I28" s="6" t="s">
        <v>69</v>
      </c>
      <c r="J28" s="6"/>
      <c r="K28" s="6"/>
      <c r="L28" s="6"/>
    </row>
    <row r="29" customFormat="false" ht="29.25" hidden="false" customHeight="true" outlineLevel="0" collapsed="false">
      <c r="A29" s="9" t="s">
        <v>161</v>
      </c>
      <c r="B29" s="6" t="s">
        <v>16</v>
      </c>
      <c r="C29" s="6" t="s">
        <v>162</v>
      </c>
      <c r="D29" s="6" t="s">
        <v>163</v>
      </c>
      <c r="E29" s="6" t="s">
        <v>67</v>
      </c>
      <c r="F29" s="9" t="s">
        <v>41</v>
      </c>
      <c r="G29" s="6" t="s">
        <v>164</v>
      </c>
      <c r="H29" s="6" t="s">
        <v>5</v>
      </c>
      <c r="I29" s="6" t="s">
        <v>69</v>
      </c>
      <c r="J29" s="6"/>
      <c r="K29" s="6"/>
      <c r="L29" s="6"/>
    </row>
    <row r="30" customFormat="false" ht="29.25" hidden="false" customHeight="true" outlineLevel="0" collapsed="false">
      <c r="A30" s="9" t="s">
        <v>165</v>
      </c>
      <c r="B30" s="6" t="s">
        <v>18</v>
      </c>
      <c r="C30" s="6" t="s">
        <v>166</v>
      </c>
      <c r="D30" s="6" t="s">
        <v>167</v>
      </c>
      <c r="E30" s="6" t="s">
        <v>168</v>
      </c>
      <c r="F30" s="9" t="s">
        <v>169</v>
      </c>
      <c r="G30" s="9" t="s">
        <v>132</v>
      </c>
      <c r="H30" s="6" t="s">
        <v>43</v>
      </c>
      <c r="I30" s="6" t="s">
        <v>69</v>
      </c>
      <c r="J30" s="6"/>
      <c r="K30" s="6"/>
      <c r="L30" s="6"/>
    </row>
    <row r="31" customFormat="false" ht="29.25" hidden="false" customHeight="true" outlineLevel="0" collapsed="false">
      <c r="A31" s="9" t="s">
        <v>170</v>
      </c>
      <c r="B31" s="6" t="s">
        <v>18</v>
      </c>
      <c r="C31" s="6" t="s">
        <v>171</v>
      </c>
      <c r="D31" s="6" t="s">
        <v>172</v>
      </c>
      <c r="E31" s="6" t="s">
        <v>173</v>
      </c>
      <c r="F31" s="9" t="s">
        <v>174</v>
      </c>
      <c r="G31" s="9" t="s">
        <v>68</v>
      </c>
      <c r="H31" s="6" t="s">
        <v>43</v>
      </c>
      <c r="I31" s="15" t="s">
        <v>44</v>
      </c>
      <c r="J31" s="6"/>
      <c r="K31" s="6"/>
      <c r="L31" s="6"/>
    </row>
    <row r="32" customFormat="false" ht="15" hidden="false" customHeight="true" outlineLevel="0" collapsed="false">
      <c r="A32" s="9" t="s">
        <v>175</v>
      </c>
      <c r="B32" s="6" t="s">
        <v>18</v>
      </c>
      <c r="C32" s="6" t="s">
        <v>176</v>
      </c>
      <c r="D32" s="6" t="s">
        <v>177</v>
      </c>
      <c r="E32" s="6" t="s">
        <v>67</v>
      </c>
      <c r="F32" s="9" t="s">
        <v>165</v>
      </c>
      <c r="G32" s="9" t="s">
        <v>49</v>
      </c>
      <c r="H32" s="6" t="s">
        <v>43</v>
      </c>
      <c r="I32" s="6" t="s">
        <v>69</v>
      </c>
      <c r="J32" s="6"/>
      <c r="K32" s="6"/>
      <c r="L32" s="6"/>
    </row>
    <row r="33" customFormat="false" ht="15" hidden="false" customHeight="true" outlineLevel="0" collapsed="false">
      <c r="A33" s="9" t="s">
        <v>178</v>
      </c>
      <c r="B33" s="6" t="s">
        <v>18</v>
      </c>
      <c r="C33" s="6" t="s">
        <v>179</v>
      </c>
      <c r="D33" s="6" t="s">
        <v>180</v>
      </c>
      <c r="E33" s="6" t="s">
        <v>126</v>
      </c>
      <c r="F33" s="9" t="s">
        <v>181</v>
      </c>
      <c r="G33" s="9" t="s">
        <v>78</v>
      </c>
      <c r="H33" s="6" t="s">
        <v>43</v>
      </c>
      <c r="I33" s="15" t="s">
        <v>44</v>
      </c>
      <c r="J33" s="6"/>
      <c r="K33" s="6"/>
      <c r="L33" s="6" t="s">
        <v>182</v>
      </c>
    </row>
  </sheetData>
  <autoFilter ref="A1:L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40"/>
    <col collapsed="false" customWidth="true" hidden="false" outlineLevel="0" max="4" min="4" style="1" width="12"/>
    <col collapsed="false" customWidth="true" hidden="false" outlineLevel="0" max="6" min="5" style="1" width="16"/>
    <col collapsed="false" customWidth="true" hidden="false" outlineLevel="0" max="7" min="7" style="1" width="8"/>
  </cols>
  <sheetData>
    <row r="1" customFormat="false" ht="15.75" hidden="false" customHeight="true" outlineLevel="0" collapsed="false">
      <c r="A1" s="16" t="s">
        <v>183</v>
      </c>
    </row>
    <row r="3" customFormat="false" ht="16.5" hidden="false" customHeight="true" outlineLevel="0" collapsed="false">
      <c r="A3" s="4" t="s">
        <v>26</v>
      </c>
      <c r="B3" s="4" t="s">
        <v>184</v>
      </c>
      <c r="C3" s="4" t="s">
        <v>185</v>
      </c>
      <c r="D3" s="4" t="s">
        <v>186</v>
      </c>
      <c r="E3" s="4" t="s">
        <v>187</v>
      </c>
      <c r="F3" s="4" t="s">
        <v>188</v>
      </c>
      <c r="G3" s="4" t="s">
        <v>32</v>
      </c>
    </row>
    <row r="4" customFormat="false" ht="15" hidden="false" customHeight="true" outlineLevel="0" collapsed="false">
      <c r="A4" s="9" t="s">
        <v>37</v>
      </c>
      <c r="B4" s="6" t="s">
        <v>189</v>
      </c>
      <c r="C4" s="6" t="s">
        <v>190</v>
      </c>
      <c r="D4" s="6" t="s">
        <v>86</v>
      </c>
      <c r="E4" s="15"/>
      <c r="F4" s="15"/>
      <c r="G4" s="6" t="s">
        <v>191</v>
      </c>
    </row>
    <row r="5" customFormat="false" ht="15" hidden="false" customHeight="true" outlineLevel="0" collapsed="false">
      <c r="A5" s="9" t="s">
        <v>46</v>
      </c>
      <c r="B5" s="6" t="s">
        <v>47</v>
      </c>
      <c r="C5" s="6" t="s">
        <v>192</v>
      </c>
      <c r="D5" s="6" t="s">
        <v>126</v>
      </c>
      <c r="E5" s="15"/>
      <c r="F5" s="15"/>
      <c r="G5" s="6" t="s">
        <v>191</v>
      </c>
    </row>
    <row r="6" customFormat="false" ht="15" hidden="false" customHeight="true" outlineLevel="0" collapsed="false">
      <c r="A6" s="9" t="s">
        <v>51</v>
      </c>
      <c r="B6" s="6" t="s">
        <v>52</v>
      </c>
      <c r="C6" s="6" t="s">
        <v>193</v>
      </c>
      <c r="D6" s="6" t="s">
        <v>54</v>
      </c>
      <c r="E6" s="15"/>
      <c r="F6" s="15"/>
      <c r="G6" s="6" t="s">
        <v>191</v>
      </c>
    </row>
    <row r="7" customFormat="false" ht="15" hidden="false" customHeight="true" outlineLevel="0" collapsed="false">
      <c r="A7" s="9" t="s">
        <v>55</v>
      </c>
      <c r="B7" s="6" t="s">
        <v>194</v>
      </c>
      <c r="C7" s="6" t="s">
        <v>195</v>
      </c>
      <c r="D7" s="6" t="s">
        <v>173</v>
      </c>
      <c r="E7" s="15"/>
      <c r="F7" s="15"/>
      <c r="G7" s="6" t="s">
        <v>191</v>
      </c>
    </row>
    <row r="8" customFormat="false" ht="15" hidden="false" customHeight="true" outlineLevel="0" collapsed="false">
      <c r="A8" s="9" t="s">
        <v>61</v>
      </c>
      <c r="B8" s="6" t="s">
        <v>196</v>
      </c>
      <c r="C8" s="6" t="s">
        <v>197</v>
      </c>
      <c r="D8" s="6" t="s">
        <v>126</v>
      </c>
      <c r="E8" s="15"/>
      <c r="F8" s="15"/>
      <c r="G8" s="6" t="s">
        <v>191</v>
      </c>
    </row>
    <row r="9" customFormat="false" ht="15" hidden="false" customHeight="true" outlineLevel="0" collapsed="false">
      <c r="A9" s="9" t="s">
        <v>83</v>
      </c>
      <c r="B9" s="6" t="s">
        <v>198</v>
      </c>
      <c r="C9" s="6" t="s">
        <v>199</v>
      </c>
      <c r="D9" s="6" t="s">
        <v>126</v>
      </c>
      <c r="E9" s="15"/>
      <c r="F9" s="15"/>
      <c r="G9" s="6" t="s">
        <v>191</v>
      </c>
    </row>
    <row r="10" customFormat="false" ht="15" hidden="false" customHeight="true" outlineLevel="0" collapsed="false">
      <c r="A10" s="9" t="s">
        <v>101</v>
      </c>
      <c r="B10" s="6" t="s">
        <v>200</v>
      </c>
      <c r="C10" s="6" t="s">
        <v>201</v>
      </c>
      <c r="D10" s="6" t="s">
        <v>202</v>
      </c>
      <c r="E10" s="15"/>
      <c r="F10" s="15"/>
      <c r="G10" s="6" t="s">
        <v>191</v>
      </c>
    </row>
    <row r="11" customFormat="false" ht="15" hidden="false" customHeight="true" outlineLevel="0" collapsed="false">
      <c r="A11" s="9" t="s">
        <v>116</v>
      </c>
      <c r="B11" s="6" t="s">
        <v>203</v>
      </c>
      <c r="C11" s="6" t="s">
        <v>204</v>
      </c>
      <c r="D11" s="6" t="s">
        <v>86</v>
      </c>
      <c r="E11" s="15"/>
      <c r="F11" s="15"/>
      <c r="G11" s="6" t="s">
        <v>191</v>
      </c>
    </row>
    <row r="12" customFormat="false" ht="15" hidden="false" customHeight="true" outlineLevel="0" collapsed="false">
      <c r="A12" s="9" t="s">
        <v>123</v>
      </c>
      <c r="B12" s="6" t="s">
        <v>205</v>
      </c>
      <c r="C12" s="6" t="s">
        <v>206</v>
      </c>
      <c r="D12" s="6" t="s">
        <v>126</v>
      </c>
      <c r="E12" s="15"/>
      <c r="F12" s="15"/>
      <c r="G12" s="6" t="s">
        <v>191</v>
      </c>
    </row>
    <row r="13" customFormat="false" ht="15" hidden="false" customHeight="true" outlineLevel="0" collapsed="false">
      <c r="A13" s="9" t="s">
        <v>128</v>
      </c>
      <c r="B13" s="6" t="s">
        <v>207</v>
      </c>
      <c r="C13" s="6" t="s">
        <v>208</v>
      </c>
      <c r="D13" s="6" t="s">
        <v>54</v>
      </c>
      <c r="E13" s="15"/>
      <c r="F13" s="15"/>
      <c r="G13" s="6" t="s">
        <v>191</v>
      </c>
    </row>
    <row r="14" customFormat="false" ht="15" hidden="false" customHeight="true" outlineLevel="0" collapsed="false">
      <c r="A14" s="9" t="s">
        <v>144</v>
      </c>
      <c r="B14" s="6" t="s">
        <v>209</v>
      </c>
      <c r="C14" s="6" t="s">
        <v>210</v>
      </c>
      <c r="D14" s="6" t="s">
        <v>126</v>
      </c>
      <c r="E14" s="15"/>
      <c r="F14" s="15"/>
      <c r="G14" s="6" t="s">
        <v>191</v>
      </c>
    </row>
    <row r="15" customFormat="false" ht="15" hidden="false" customHeight="true" outlineLevel="0" collapsed="false">
      <c r="A15" s="9" t="s">
        <v>170</v>
      </c>
      <c r="B15" s="6" t="s">
        <v>171</v>
      </c>
      <c r="C15" s="6" t="s">
        <v>211</v>
      </c>
      <c r="D15" s="6" t="s">
        <v>173</v>
      </c>
      <c r="E15" s="15"/>
      <c r="F15" s="15"/>
      <c r="G15" s="6" t="s">
        <v>191</v>
      </c>
    </row>
    <row r="16" customFormat="false" ht="15" hidden="false" customHeight="true" outlineLevel="0" collapsed="false">
      <c r="A16" s="9" t="s">
        <v>178</v>
      </c>
      <c r="B16" s="6" t="s">
        <v>179</v>
      </c>
      <c r="C16" s="6" t="s">
        <v>212</v>
      </c>
      <c r="D16" s="6" t="s">
        <v>126</v>
      </c>
      <c r="E16" s="15"/>
      <c r="F16" s="15"/>
      <c r="G16" s="6" t="s">
        <v>191</v>
      </c>
    </row>
    <row r="18" customFormat="false" ht="13.5" hidden="false" customHeight="true" outlineLevel="0" collapsed="false">
      <c r="A18" s="17" t="s">
        <v>213</v>
      </c>
      <c r="B18" s="17"/>
      <c r="C18" s="17"/>
      <c r="D18" s="17"/>
      <c r="E18" s="17"/>
      <c r="F18" s="17"/>
      <c r="G18" s="17"/>
    </row>
  </sheetData>
  <mergeCells count="1"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2026-07-22T05:04:28Z</dcterms:created>
  <dc:creator>openpyxl</dc:creator>
  <dc:description/>
  <dc:language>en-US</dc:language>
  <cp:lastModifiedBy/>
  <dcterms:modified xsi:type="dcterms:W3CDTF">2026-07-22T05:21:48Z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